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3fc27e43dbbefce/Desktop/"/>
    </mc:Choice>
  </mc:AlternateContent>
  <xr:revisionPtr revIDLastSave="929" documentId="11_F25DC773A252ABDACC10481D21DD5DEE5BDE58EB" xr6:coauthVersionLast="47" xr6:coauthVersionMax="47" xr10:uidLastSave="{4BF5AB2E-C362-4990-9F6C-8687224DFA3A}"/>
  <bookViews>
    <workbookView xWindow="-108" yWindow="-108" windowWidth="23256" windowHeight="12456" tabRatio="597" xr2:uid="{00000000-000D-0000-FFFF-FFFF00000000}"/>
  </bookViews>
  <sheets>
    <sheet name="Data Vendors" sheetId="2" r:id="rId1"/>
    <sheet name="Dashboard" sheetId="5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5" l="1"/>
  <c r="H17" i="5" a="1"/>
  <c r="H17" i="5" s="1"/>
  <c r="H16" i="5" a="1"/>
  <c r="H16" i="5" s="1"/>
  <c r="H15" i="5" a="1"/>
  <c r="H15" i="5" s="1"/>
  <c r="H14" i="5" a="1"/>
  <c r="H14" i="5" s="1"/>
  <c r="H13" i="5" a="1"/>
  <c r="H13" i="5" s="1"/>
  <c r="H12" i="5" a="1"/>
  <c r="H12" i="5" s="1"/>
  <c r="H10" i="5" a="1"/>
  <c r="H10" i="5" s="1"/>
  <c r="H9" i="5" a="1"/>
  <c r="H9" i="5" s="1"/>
  <c r="G17" i="5" a="1"/>
  <c r="G17" i="5" s="1"/>
  <c r="G16" i="5" a="1"/>
  <c r="G16" i="5" s="1"/>
  <c r="G15" i="5" a="1"/>
  <c r="G15" i="5" s="1"/>
  <c r="G14" i="5" a="1"/>
  <c r="G14" i="5" s="1"/>
  <c r="G13" i="5" a="1"/>
  <c r="G13" i="5" s="1"/>
  <c r="G12" i="5" a="1"/>
  <c r="G12" i="5" s="1"/>
  <c r="G10" i="5" a="1"/>
  <c r="G10" i="5" s="1"/>
  <c r="G9" i="5" a="1"/>
  <c r="G9" i="5" s="1"/>
  <c r="F17" i="5" a="1"/>
  <c r="F17" i="5" s="1"/>
  <c r="F16" i="5" a="1"/>
  <c r="F16" i="5" s="1"/>
  <c r="F15" i="5" a="1"/>
  <c r="F15" i="5" s="1"/>
  <c r="F14" i="5" a="1"/>
  <c r="F14" i="5" s="1"/>
  <c r="F13" i="5" a="1"/>
  <c r="F13" i="5" s="1"/>
  <c r="F12" i="5" a="1"/>
  <c r="F12" i="5" s="1"/>
  <c r="F11" i="5" a="1"/>
  <c r="F11" i="5" s="1"/>
  <c r="F10" i="5" a="1"/>
  <c r="F10" i="5" s="1"/>
  <c r="F9" i="5" a="1"/>
  <c r="F9" i="5" s="1"/>
  <c r="E17" i="5" a="1"/>
  <c r="E17" i="5" s="1"/>
  <c r="E16" i="5" a="1"/>
  <c r="E16" i="5" s="1"/>
  <c r="E15" i="5" a="1"/>
  <c r="E15" i="5" s="1"/>
  <c r="E14" i="5" a="1"/>
  <c r="E14" i="5" s="1"/>
  <c r="E13" i="5" a="1"/>
  <c r="E13" i="5" s="1"/>
  <c r="E12" i="5" a="1"/>
  <c r="E12" i="5" s="1"/>
  <c r="E11" i="5" a="1"/>
  <c r="E11" i="5" s="1"/>
  <c r="E10" i="5" a="1"/>
  <c r="E10" i="5" s="1"/>
  <c r="E9" i="5" a="1"/>
  <c r="E9" i="5" s="1"/>
  <c r="D17" i="5" a="1"/>
  <c r="D17" i="5" s="1"/>
  <c r="D16" i="5" a="1"/>
  <c r="D16" i="5" s="1"/>
  <c r="D15" i="5" a="1"/>
  <c r="D15" i="5" s="1"/>
  <c r="D14" i="5" a="1"/>
  <c r="D14" i="5" s="1"/>
  <c r="D13" i="5" a="1"/>
  <c r="D13" i="5" s="1"/>
  <c r="D12" i="5" a="1"/>
  <c r="D12" i="5" s="1"/>
  <c r="D11" i="5" a="1"/>
  <c r="D11" i="5" s="1"/>
  <c r="D10" i="5" a="1"/>
  <c r="D10" i="5" s="1"/>
  <c r="D9" i="5" a="1"/>
  <c r="D9" i="5" s="1"/>
  <c r="C17" i="5" a="1"/>
  <c r="C17" i="5" s="1"/>
  <c r="C16" i="5" a="1"/>
  <c r="C16" i="5" s="1"/>
  <c r="C15" i="5" a="1"/>
  <c r="C15" i="5" s="1"/>
  <c r="C14" i="5" a="1"/>
  <c r="C14" i="5" s="1"/>
  <c r="C13" i="5" a="1"/>
  <c r="C13" i="5" s="1"/>
  <c r="C12" i="5" a="1"/>
  <c r="C12" i="5" s="1"/>
  <c r="C11" i="5" a="1"/>
  <c r="C11" i="5" s="1"/>
  <c r="C10" i="5" a="1"/>
  <c r="C10" i="5" s="1"/>
  <c r="C9" i="5" a="1"/>
  <c r="C9" i="5" s="1"/>
  <c r="B17" i="5" a="1"/>
  <c r="B17" i="5" s="1"/>
  <c r="B16" i="5" a="1"/>
  <c r="B16" i="5" s="1"/>
  <c r="B15" i="5" a="1"/>
  <c r="B15" i="5" s="1"/>
  <c r="B14" i="5" a="1"/>
  <c r="B14" i="5" s="1"/>
  <c r="B13" i="5" a="1"/>
  <c r="B13" i="5" s="1"/>
  <c r="B12" i="5" a="1"/>
  <c r="B12" i="5" s="1"/>
  <c r="B11" i="5" a="1"/>
  <c r="B11" i="5" s="1"/>
  <c r="B10" i="5" a="1"/>
  <c r="B10" i="5" s="1"/>
  <c r="B9" i="5" a="1"/>
  <c r="B9" i="5" s="1"/>
  <c r="F5" i="5"/>
  <c r="J3" i="2"/>
  <c r="J5" i="2"/>
  <c r="J6" i="2"/>
  <c r="J7" i="2"/>
  <c r="J8" i="2"/>
  <c r="J9" i="2"/>
  <c r="J10" i="2"/>
  <c r="J2" i="2"/>
  <c r="I4" i="2"/>
  <c r="G11" i="5" s="1" a="1"/>
  <c r="G11" i="5" s="1"/>
  <c r="I5" i="2"/>
  <c r="I6" i="2"/>
  <c r="I7" i="2"/>
  <c r="I8" i="2"/>
  <c r="I9" i="2"/>
  <c r="I10" i="2"/>
  <c r="I3" i="2"/>
  <c r="I2" i="2"/>
  <c r="J4" i="2" l="1"/>
  <c r="B5" i="5"/>
  <c r="D5" i="5" l="1"/>
  <c r="H11" i="5" a="1"/>
  <c r="H1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<sst xmlns="http://schemas.openxmlformats.org/spreadsheetml/2006/main" count="75" uniqueCount="73">
  <si>
    <t>Vendor Name</t>
  </si>
  <si>
    <t>Specific Dataset Name</t>
  </si>
  <si>
    <t>What Data It Provides</t>
  </si>
  <si>
    <t>Cost Estimate (Annual)</t>
  </si>
  <si>
    <t>Timeliness</t>
  </si>
  <si>
    <t>Relevance to Energy Investing (1-10)</t>
  </si>
  <si>
    <t>Total Score</t>
  </si>
  <si>
    <t>Kpler</t>
  </si>
  <si>
    <t>MarineTraffic</t>
  </si>
  <si>
    <t>Real-time</t>
  </si>
  <si>
    <t>Privateer</t>
  </si>
  <si>
    <t>Oil &amp; Gas Operations Intelligence</t>
  </si>
  <si>
    <t>Satellite + AIS data for oilfield, pipeline, terminal, refinery, methane, fracking monitoring</t>
  </si>
  <si>
    <t>$30,000+  – $100,000+</t>
  </si>
  <si>
    <t>Crude Oil &amp; LNG Supply Intelligence</t>
  </si>
  <si>
    <t>Real-time global crude inventory (tank-level), LNG inventory by country, tanker tracking, refinery runs (900+ refineries), refined product trade flows, commodity prices, supply/demand analytics</t>
  </si>
  <si>
    <t>$150K-$400K+</t>
  </si>
  <si>
    <t>Real-time/Daily</t>
  </si>
  <si>
    <t>Global Vessel Tracking &amp; Port Activity</t>
  </si>
  <si>
    <t>Real-time AIS tracking (13,000+ receivers), port call events, ship-to-ship transfers, vessel compliance data, historical movements (since 2010), predictive ETAs</t>
  </si>
  <si>
    <t>Essential: €1K/yr (1 vessel), Enterprise: Custom</t>
  </si>
  <si>
    <t>Near real-time (satellite signal dependent)</t>
  </si>
  <si>
    <t>Energy Market Intelligence &amp; Analytics</t>
  </si>
  <si>
    <t>Wood Mackenzie</t>
  </si>
  <si>
    <t>Upstream oil/gas data, LNG market insights, refinery analytics, emissions tracking, energy transition data, power &amp; renewables intelligence, market reports</t>
  </si>
  <si>
    <t>Enterprise: Custom (Est. $100K+/yr for subscriptions</t>
  </si>
  <si>
    <t>Daily/Weekly reports</t>
  </si>
  <si>
    <t>Enverus</t>
  </si>
  <si>
    <t>Energy Operations &amp; Production Intelligence</t>
  </si>
  <si>
    <t>Real-time rig counts, drilling activity, production capacity, operations data, supply chain analytics, financial benchmarking across 98% USA producers</t>
  </si>
  <si>
    <t>Custom/Enterprise (Estimated $100K+/yr)</t>
  </si>
  <si>
    <t>IEA (International Energy Agency)</t>
  </si>
  <si>
    <t>Global Energy Statistics &amp; Forecasts</t>
  </si>
  <si>
    <t>Production forecasts, supply/demand balances, energy outlook reports, policy database, 5-10 year projections across 64% global energy production</t>
  </si>
  <si>
    <t>Subscription/Custom (Estimated $50K-$150K/yr)</t>
  </si>
  <si>
    <t>Monthly/Quarterly reports</t>
  </si>
  <si>
    <t>Kayrros</t>
  </si>
  <si>
    <t>Energy Market Intelligence (Satellite-Based)</t>
  </si>
  <si>
    <t>Crude oil inventory tracking, production forecasting, flaring/emissions detection, LNG outages, renewable construction monitoring, carbon allowance tracking, industrial energy demand</t>
  </si>
  <si>
    <t>Custom/Enterprise (Estimated $150K-$500K+/yr)</t>
  </si>
  <si>
    <t>Near real-time</t>
  </si>
  <si>
    <t>YES Energy</t>
  </si>
  <si>
    <t>Power Market Operating System</t>
  </si>
  <si>
    <t>Real-time LMP (electricity prices), grid frequency data, renewable generation, demand forecasting, FTR data, 1,100+ data sources, 15+ years historical</t>
  </si>
  <si>
    <t>Custom/Enterprise (Estimated $100K-$300K+/yr)</t>
  </si>
  <si>
    <t>Real-time (minute-by-minute)</t>
  </si>
  <si>
    <t>Vortexa</t>
  </si>
  <si>
    <t>Energy Shipping &amp; Trading Intelligence</t>
  </si>
  <si>
    <t>Global oil &amp; gas vessel tracking, shipping flows, freight analytics, inventory data, trading market signals</t>
  </si>
  <si>
    <t>(Estimate $100K-$300K+/yr)</t>
  </si>
  <si>
    <t>Timeliness (1-10)</t>
  </si>
  <si>
    <t>Implementation (1-10)</t>
  </si>
  <si>
    <t>Tier</t>
  </si>
  <si>
    <t>⚡ Energy Data Vendor Intelligence Dashboard</t>
  </si>
  <si>
    <t>🔽  Filter by Tier</t>
  </si>
  <si>
    <t>AVG TOTAL SCORE</t>
  </si>
  <si>
    <t>out of 30 pts</t>
  </si>
  <si>
    <t>TIER 1 VENDORS</t>
  </si>
  <si>
    <t>of 9 vendors</t>
  </si>
  <si>
    <t>AVG RELEVANCE SCORE</t>
  </si>
  <si>
    <t>energy investing (/10)</t>
  </si>
  <si>
    <t>Select Tier:</t>
  </si>
  <si>
    <t>All</t>
  </si>
  <si>
    <t>VENDOR</t>
  </si>
  <si>
    <t>DATASET</t>
  </si>
  <si>
    <t>RELEVANCE</t>
  </si>
  <si>
    <t>TIMELINESS</t>
  </si>
  <si>
    <t>IMPL.</t>
  </si>
  <si>
    <t>SCORE</t>
  </si>
  <si>
    <t>TIER</t>
  </si>
  <si>
    <t>VENDOR COMPARISON</t>
  </si>
  <si>
    <t>KEY PERFORMANCE INDICATORS</t>
  </si>
  <si>
    <t>FILTERED AVG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</si>
</sst>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A1A2E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32"/>
      <color rgb="FFE94560"/>
      <name val="Calibri"/>
      <family val="2"/>
      <scheme val="minor"/>
    </font>
    <font>
      <sz val="9"/>
      <color rgb="FFA0AEC0"/>
      <name val="Calibri"/>
      <family val="2"/>
      <scheme val="minor"/>
    </font>
    <font>
      <b/>
      <sz val="11"/>
      <color rgb="FF0F3460"/>
      <name val="Calibri"/>
      <family val="2"/>
      <scheme val="minor"/>
    </font>
    <font>
      <b/>
      <sz val="10"/>
      <color rgb="FF1A1A2E"/>
      <name val="Calibri"/>
      <family val="2"/>
      <scheme val="minor"/>
    </font>
    <font>
      <sz val="11"/>
      <color rgb="FF0F3460"/>
      <name val="Calibri"/>
      <family val="2"/>
      <scheme val="minor"/>
    </font>
    <font>
      <b/>
      <sz val="9"/>
      <color rgb="FF0F3460"/>
      <name val="Calibri"/>
      <family val="2"/>
      <scheme val="minor"/>
    </font>
    <font>
      <b/>
      <sz val="8"/>
      <color rgb="FF718096"/>
      <name val="Calibri"/>
      <family val="2"/>
      <scheme val="minor"/>
    </font>
    <font>
      <i/>
      <sz val="9"/>
      <color rgb="FF71809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3460"/>
        <bgColor indexed="64"/>
      </patternFill>
    </fill>
    <fill>
      <patternFill patternType="solid">
        <fgColor rgb="FFF7F9FF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E94560"/>
      </left>
      <right style="thick">
        <color rgb="FFE94560"/>
      </right>
      <top style="thick">
        <color rgb="FFE94560"/>
      </top>
      <bottom/>
      <diagonal/>
    </border>
    <border>
      <left style="thick">
        <color rgb="FFE94560"/>
      </left>
      <right style="thick">
        <color rgb="FFE94560"/>
      </right>
      <top/>
      <bottom/>
      <diagonal/>
    </border>
    <border>
      <left style="thick">
        <color rgb="FFE94560"/>
      </left>
      <right style="thick">
        <color rgb="FFE94560"/>
      </right>
      <top/>
      <bottom style="thick">
        <color rgb="FFE94560"/>
      </bottom>
      <diagonal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>
      <left/>
      <right/>
      <top style="thin">
        <color rgb="FFD0D9F0"/>
      </top>
      <bottom style="thin">
        <color rgb="FFD0D9F0"/>
      </bottom>
      <diagonal/>
    </border>
    <border>
      <left/>
      <right/>
      <top style="thin">
        <color rgb="FFD0D9F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168" fontId="4" fillId="2" borderId="12" xfId="0" applyNumberFormat="1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0" fontId="6" fillId="3" borderId="0" xfId="0" applyFont="1" applyFill="1" applyAlignment="1">
      <alignment horizontal="left"/>
    </xf>
    <xf numFmtId="0" fontId="7" fillId="3" borderId="0" xfId="0" applyFont="1" applyFill="1"/>
    <xf numFmtId="0" fontId="8" fillId="3" borderId="14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Border="1"/>
    <xf numFmtId="0" fontId="6" fillId="3" borderId="0" xfId="0" applyFont="1" applyFill="1" applyBorder="1"/>
    <xf numFmtId="0" fontId="0" fillId="3" borderId="16" xfId="0" applyFill="1" applyBorder="1"/>
    <xf numFmtId="0" fontId="6" fillId="3" borderId="16" xfId="0" applyFont="1" applyFill="1" applyBorder="1"/>
    <xf numFmtId="0" fontId="0" fillId="3" borderId="15" xfId="0" applyFill="1" applyBorder="1"/>
    <xf numFmtId="0" fontId="6" fillId="3" borderId="15" xfId="0" applyFont="1" applyFill="1" applyBorder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</cellXfs>
  <cellStyles count="1">
    <cellStyle name="Normal" xfId="0" builtinId="0"/>
  </cellStyles>
  <dxfs count="17">
    <dxf>
      <font>
        <b/>
        <i val="0"/>
        <color rgb="FF7B341E"/>
      </font>
      <fill>
        <patternFill patternType="solid">
          <fgColor indexed="64"/>
          <bgColor rgb="FFFEEBC8"/>
        </patternFill>
      </fill>
    </dxf>
    <dxf>
      <font>
        <b/>
        <i val="0"/>
        <color rgb="FF22543D"/>
      </font>
      <fill>
        <patternFill patternType="solid">
          <fgColor indexed="64"/>
          <bgColor rgb="FFC6F6D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2E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 by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2E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Vendors'!$A$2:$A$10</c:f>
              <c:strCache>
                <c:ptCount val="9"/>
                <c:pt idx="0">
                  <c:v>Privateer</c:v>
                </c:pt>
                <c:pt idx="1">
                  <c:v>Kpler</c:v>
                </c:pt>
                <c:pt idx="2">
                  <c:v>MarineTraffic</c:v>
                </c:pt>
                <c:pt idx="3">
                  <c:v>Wood Mackenzie</c:v>
                </c:pt>
                <c:pt idx="4">
                  <c:v>Enverus</c:v>
                </c:pt>
                <c:pt idx="5">
                  <c:v>IEA (International Energy Agency)</c:v>
                </c:pt>
                <c:pt idx="6">
                  <c:v>Kayrros</c:v>
                </c:pt>
                <c:pt idx="7">
                  <c:v>YES Energy</c:v>
                </c:pt>
                <c:pt idx="8">
                  <c:v>Vortexa</c:v>
                </c:pt>
              </c:strCache>
            </c:strRef>
          </c:cat>
          <c:val>
            <c:numRef>
              <c:f>'Data Vendors'!$I$2:$I$10</c:f>
              <c:numCache>
                <c:formatCode>General</c:formatCode>
                <c:ptCount val="9"/>
                <c:pt idx="0">
                  <c:v>26</c:v>
                </c:pt>
                <c:pt idx="1">
                  <c:v>27</c:v>
                </c:pt>
                <c:pt idx="2">
                  <c:v>23</c:v>
                </c:pt>
                <c:pt idx="3">
                  <c:v>21</c:v>
                </c:pt>
                <c:pt idx="4">
                  <c:v>25</c:v>
                </c:pt>
                <c:pt idx="5">
                  <c:v>18</c:v>
                </c:pt>
                <c:pt idx="6">
                  <c:v>25</c:v>
                </c:pt>
                <c:pt idx="7">
                  <c:v>26</c:v>
                </c:pt>
                <c:pt idx="8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11-42F4-8DCE-94D6EC9E2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8755151"/>
        <c:axId val="1738741231"/>
      </c:barChart>
      <c:catAx>
        <c:axId val="1738755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41231"/>
        <c:crosses val="autoZero"/>
        <c:auto val="1"/>
        <c:lblAlgn val="ctr"/>
        <c:lblOffset val="100"/>
        <c:noMultiLvlLbl val="0"/>
      </c:catAx>
      <c:valAx>
        <c:axId val="1738741231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8755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545737</xdr:colOff>
      <xdr:row>6</xdr:row>
      <xdr:rowOff>48260</xdr:rowOff>
    </xdr:from>
    <xdr:to>
      <xdr:col>15</xdr:col>
      <xdr:colOff>596537</xdr:colOff>
      <xdr:row>19</xdr:row>
      <xdr:rowOff>149860</xdr:rowOff>
    </xdr:to>
    <xdr:graphicFrame macro="">
      <xdr:nvGraphicFramePr>
        <xdr:cNvPr id="2" name="VendorScores">
          <a:extLst>
            <a:ext uri="{FF2B5EF4-FFF2-40B4-BE49-F238E27FC236}">
              <a16:creationId xmlns:a16="http://schemas.microsoft.com/office/drawing/2014/main" id="{A39A3B3A-65D7-CFC0-3EBB-691C00D61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DB2DC5-C350-4A81-8E38-B1A9AAACC870}" name="Table3" displayName="Table3" ref="A1:J10" totalsRowShown="0" headerRowDxfId="2" dataDxfId="3" headerRowBorderDxfId="15" tableBorderDxfId="16" totalsRowBorderDxfId="14">
  <autoFilter ref="A1:J10" xr:uid="{73DB2DC5-C350-4A81-8E38-B1A9AAACC870}"/>
  <tableColumns count="10">
    <tableColumn id="1" xr3:uid="{DCCF2312-FD98-4770-9F2F-1FDC365E4579}" name="Vendor Name" dataDxfId="13"/>
    <tableColumn id="2" xr3:uid="{63B328B4-2977-495F-871C-DB53AF35D6C6}" name="Specific Dataset Name" dataDxfId="12"/>
    <tableColumn id="3" xr3:uid="{EE8738C8-DC1B-4FE3-8AF3-85B8604783E6}" name="What Data It Provides" dataDxfId="11"/>
    <tableColumn id="4" xr3:uid="{3AC9ABC0-B916-4FAB-999C-88DA3BDF8DAA}" name="Cost Estimate (Annual)" dataDxfId="10"/>
    <tableColumn id="5" xr3:uid="{F2137CD5-7172-423E-8437-DD41C9411969}" name="Timeliness" dataDxfId="9"/>
    <tableColumn id="6" xr3:uid="{A018FAFD-AAD3-466B-8029-FF24A34CBC99}" name="Relevance to Energy Investing (1-10)" dataDxfId="8"/>
    <tableColumn id="7" xr3:uid="{7F78498C-76C7-4AA4-A479-A5ADB9857190}" name="Timeliness (1-10)" dataDxfId="7"/>
    <tableColumn id="8" xr3:uid="{71D79217-3A14-4494-A6B2-4698B520E94D}" name="Implementation (1-10)" dataDxfId="6"/>
    <tableColumn id="9" xr3:uid="{DD8C72AD-8BC6-40FC-835A-A12C704BB3E9}" name="Total Score" dataDxfId="5">
      <calculatedColumnFormula>F2+G2+H2</calculatedColumnFormula>
    </tableColumn>
    <tableColumn id="10" xr3:uid="{8EB97CF4-383F-428E-9B4D-001242AF6934}" name="Tier" dataDxfId="4">
      <calculatedColumnFormula>IF(I2&gt;=24,"Tier 1",IF(I2&gt;=15,"Tier 2","Tier 3"))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A00DB0-5DAF-4DCB-B5F3-B442AA2D858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6a9b8fb-3d57-41a6-a087-d06db54810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AFC0-5183-45E5-8B5C-18496CFEF74F}">
  <dimension ref="A1:O17"/>
  <sheetViews>
    <sheetView tabSelected="1" zoomScaleNormal="100" workbookViewId="0">
      <selection activeCell="H4" sqref="H4"/>
    </sheetView>
  </sheetViews>
  <sheetFormatPr defaultRowHeight="14.4" x14ac:dyDescent="0.3"/>
  <cols>
    <col min="1" max="1" width="14.5546875" style="4" customWidth="1"/>
    <col min="2" max="2" width="21.5546875" style="4" customWidth="1"/>
    <col min="3" max="3" width="79.109375" style="4" customWidth="1"/>
    <col min="4" max="4" width="22" style="4" customWidth="1"/>
    <col min="5" max="5" width="17.109375" style="3" customWidth="1"/>
    <col min="6" max="6" width="33.44140625" style="4" customWidth="1"/>
    <col min="7" max="7" width="18.44140625" style="4" customWidth="1"/>
    <col min="8" max="8" width="21.88671875" style="4" customWidth="1"/>
    <col min="9" max="9" width="12.21875" style="4" customWidth="1"/>
    <col min="10" max="10" width="8.21875" style="4" customWidth="1"/>
  </cols>
  <sheetData>
    <row r="1" spans="1:15" ht="28.8" x14ac:dyDescent="0.3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50</v>
      </c>
      <c r="H1" s="15" t="s">
        <v>51</v>
      </c>
      <c r="I1" s="15" t="s">
        <v>6</v>
      </c>
      <c r="J1" s="16" t="s">
        <v>52</v>
      </c>
      <c r="K1" s="1"/>
    </row>
    <row r="2" spans="1:15" x14ac:dyDescent="0.3">
      <c r="A2" s="10" t="s">
        <v>10</v>
      </c>
      <c r="B2" s="6" t="s">
        <v>11</v>
      </c>
      <c r="C2" s="6" t="s">
        <v>12</v>
      </c>
      <c r="D2" s="6" t="s">
        <v>13</v>
      </c>
      <c r="E2" s="6" t="s">
        <v>9</v>
      </c>
      <c r="F2" s="6">
        <v>9</v>
      </c>
      <c r="G2" s="6">
        <v>10</v>
      </c>
      <c r="H2" s="6">
        <v>7</v>
      </c>
      <c r="I2" s="6">
        <f>F2+G2+H2</f>
        <v>26</v>
      </c>
      <c r="J2" s="13" t="str">
        <f>IF(I2&gt;=24,"Tier 1",IF(I2&gt;=15,"Tier 2","Tier 3"))</f>
        <v>Tier 1</v>
      </c>
    </row>
    <row r="3" spans="1:15" ht="43.2" x14ac:dyDescent="0.3">
      <c r="A3" s="11" t="s">
        <v>7</v>
      </c>
      <c r="B3" s="7" t="s">
        <v>14</v>
      </c>
      <c r="C3" s="8" t="s">
        <v>15</v>
      </c>
      <c r="D3" s="7" t="s">
        <v>16</v>
      </c>
      <c r="E3" s="9" t="s">
        <v>17</v>
      </c>
      <c r="F3" s="6">
        <v>10</v>
      </c>
      <c r="G3" s="6">
        <v>9</v>
      </c>
      <c r="H3" s="6">
        <v>8</v>
      </c>
      <c r="I3" s="6">
        <f>F3+G3+H3</f>
        <v>27</v>
      </c>
      <c r="J3" s="13" t="str">
        <f t="shared" ref="J3:J10" si="0">IF(I3&gt;=24,"Tier 1",IF(I3&gt;=15,"Tier 2","Tier 3"))</f>
        <v>Tier 1</v>
      </c>
    </row>
    <row r="4" spans="1:15" ht="43.2" x14ac:dyDescent="0.3">
      <c r="A4" s="12" t="s">
        <v>8</v>
      </c>
      <c r="B4" s="9" t="s">
        <v>18</v>
      </c>
      <c r="C4" s="9" t="s">
        <v>19</v>
      </c>
      <c r="D4" s="9" t="s">
        <v>20</v>
      </c>
      <c r="E4" s="9" t="s">
        <v>21</v>
      </c>
      <c r="F4" s="9">
        <v>7</v>
      </c>
      <c r="G4" s="9">
        <v>8</v>
      </c>
      <c r="H4" s="6">
        <v>8</v>
      </c>
      <c r="I4" s="6">
        <f t="shared" ref="I4:I10" si="1">F4+G4+H4</f>
        <v>23</v>
      </c>
      <c r="J4" s="13" t="str">
        <f t="shared" si="0"/>
        <v>Tier 2</v>
      </c>
      <c r="K4" s="2"/>
      <c r="L4" s="2"/>
    </row>
    <row r="5" spans="1:15" ht="43.2" x14ac:dyDescent="0.3">
      <c r="A5" s="12" t="s">
        <v>23</v>
      </c>
      <c r="B5" s="9" t="s">
        <v>22</v>
      </c>
      <c r="C5" s="9" t="s">
        <v>24</v>
      </c>
      <c r="D5" s="9" t="s">
        <v>25</v>
      </c>
      <c r="E5" s="9" t="s">
        <v>26</v>
      </c>
      <c r="F5" s="9">
        <v>8</v>
      </c>
      <c r="G5" s="9">
        <v>6</v>
      </c>
      <c r="H5" s="9">
        <v>7</v>
      </c>
      <c r="I5" s="6">
        <f t="shared" si="1"/>
        <v>21</v>
      </c>
      <c r="J5" s="13" t="str">
        <f t="shared" si="0"/>
        <v>Tier 2</v>
      </c>
      <c r="O5" s="5"/>
    </row>
    <row r="6" spans="1:15" ht="43.2" x14ac:dyDescent="0.3">
      <c r="A6" s="12" t="s">
        <v>27</v>
      </c>
      <c r="B6" s="9" t="s">
        <v>28</v>
      </c>
      <c r="C6" s="9" t="s">
        <v>29</v>
      </c>
      <c r="D6" s="9" t="s">
        <v>30</v>
      </c>
      <c r="E6" s="9" t="s">
        <v>9</v>
      </c>
      <c r="F6" s="9">
        <v>8</v>
      </c>
      <c r="G6" s="9">
        <v>9</v>
      </c>
      <c r="H6" s="9">
        <v>8</v>
      </c>
      <c r="I6" s="6">
        <f t="shared" si="1"/>
        <v>25</v>
      </c>
      <c r="J6" s="13" t="str">
        <f t="shared" si="0"/>
        <v>Tier 1</v>
      </c>
    </row>
    <row r="7" spans="1:15" ht="57.6" x14ac:dyDescent="0.3">
      <c r="A7" s="12" t="s">
        <v>31</v>
      </c>
      <c r="B7" s="9" t="s">
        <v>32</v>
      </c>
      <c r="C7" s="9" t="s">
        <v>33</v>
      </c>
      <c r="D7" s="9" t="s">
        <v>34</v>
      </c>
      <c r="E7" s="9" t="s">
        <v>35</v>
      </c>
      <c r="F7" s="9">
        <v>7</v>
      </c>
      <c r="G7" s="9">
        <v>5</v>
      </c>
      <c r="H7" s="9">
        <v>6</v>
      </c>
      <c r="I7" s="6">
        <f t="shared" si="1"/>
        <v>18</v>
      </c>
      <c r="J7" s="13" t="str">
        <f t="shared" si="0"/>
        <v>Tier 2</v>
      </c>
    </row>
    <row r="8" spans="1:15" ht="43.2" x14ac:dyDescent="0.3">
      <c r="A8" s="12" t="s">
        <v>36</v>
      </c>
      <c r="B8" s="9" t="s">
        <v>37</v>
      </c>
      <c r="C8" s="9" t="s">
        <v>38</v>
      </c>
      <c r="D8" s="9" t="s">
        <v>39</v>
      </c>
      <c r="E8" s="9" t="s">
        <v>40</v>
      </c>
      <c r="F8" s="9">
        <v>9</v>
      </c>
      <c r="G8" s="9">
        <v>9</v>
      </c>
      <c r="H8" s="9">
        <v>7</v>
      </c>
      <c r="I8" s="6">
        <f t="shared" si="1"/>
        <v>25</v>
      </c>
      <c r="J8" s="13" t="str">
        <f t="shared" si="0"/>
        <v>Tier 1</v>
      </c>
    </row>
    <row r="9" spans="1:15" ht="43.2" x14ac:dyDescent="0.3">
      <c r="A9" s="12" t="s">
        <v>41</v>
      </c>
      <c r="B9" s="9" t="s">
        <v>42</v>
      </c>
      <c r="C9" s="9" t="s">
        <v>43</v>
      </c>
      <c r="D9" s="9" t="s">
        <v>44</v>
      </c>
      <c r="E9" s="9" t="s">
        <v>45</v>
      </c>
      <c r="F9" s="9">
        <v>8</v>
      </c>
      <c r="G9" s="9">
        <v>10</v>
      </c>
      <c r="H9" s="9">
        <v>8</v>
      </c>
      <c r="I9" s="6">
        <f t="shared" si="1"/>
        <v>26</v>
      </c>
      <c r="J9" s="13" t="str">
        <f t="shared" si="0"/>
        <v>Tier 1</v>
      </c>
    </row>
    <row r="10" spans="1:15" ht="28.8" x14ac:dyDescent="0.3">
      <c r="A10" s="17" t="s">
        <v>46</v>
      </c>
      <c r="B10" s="18" t="s">
        <v>47</v>
      </c>
      <c r="C10" s="18" t="s">
        <v>48</v>
      </c>
      <c r="D10" s="18" t="s">
        <v>49</v>
      </c>
      <c r="E10" s="18" t="s">
        <v>9</v>
      </c>
      <c r="F10" s="18">
        <v>8</v>
      </c>
      <c r="G10" s="18">
        <v>9</v>
      </c>
      <c r="H10" s="18">
        <v>8</v>
      </c>
      <c r="I10" s="19">
        <f t="shared" si="1"/>
        <v>25</v>
      </c>
      <c r="J10" s="20" t="str">
        <f t="shared" si="0"/>
        <v>Tier 1</v>
      </c>
    </row>
    <row r="17" spans="3:3" x14ac:dyDescent="0.3">
      <c r="C17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ED19E-F6F8-452D-BFDC-840C188157C5}">
  <sheetPr>
    <tabColor rgb="FFE94560"/>
  </sheetPr>
  <dimension ref="A1:L20"/>
  <sheetViews>
    <sheetView showGridLines="0" zoomScale="85" zoomScaleNormal="85" workbookViewId="0">
      <pane ySplit="2" topLeftCell="A3" activePane="bottomLeft" state="frozen"/>
      <selection pane="bottomLeft" activeCell="S12" sqref="S12"/>
    </sheetView>
  </sheetViews>
  <sheetFormatPr defaultRowHeight="14.4" x14ac:dyDescent="0.3"/>
  <cols>
    <col min="2" max="2" width="25.5546875" customWidth="1"/>
    <col min="4" max="4" width="20.33203125" customWidth="1"/>
    <col min="6" max="6" width="31" customWidth="1"/>
  </cols>
  <sheetData>
    <row r="1" spans="1:12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23.4" x14ac:dyDescent="0.45">
      <c r="A2" s="25"/>
      <c r="B2" s="26" t="s">
        <v>53</v>
      </c>
      <c r="C2" s="26"/>
      <c r="D2" s="26"/>
      <c r="E2" s="26"/>
      <c r="F2" s="26"/>
      <c r="G2" s="26"/>
      <c r="H2" s="25"/>
      <c r="I2" s="27" t="s">
        <v>54</v>
      </c>
      <c r="J2" s="25"/>
      <c r="K2" s="25"/>
      <c r="L2" s="25"/>
    </row>
    <row r="3" spans="1:12" ht="15" thickBot="1" x14ac:dyDescent="0.35">
      <c r="A3" s="25"/>
      <c r="B3" s="38" t="s">
        <v>71</v>
      </c>
      <c r="C3" s="25"/>
      <c r="D3" s="25"/>
      <c r="E3" s="25"/>
      <c r="F3" s="25"/>
      <c r="G3" s="25"/>
      <c r="H3" s="25"/>
      <c r="I3" s="28" t="s">
        <v>61</v>
      </c>
      <c r="J3" s="25"/>
      <c r="K3" s="25"/>
      <c r="L3" s="25"/>
    </row>
    <row r="4" spans="1:12" ht="15" thickTop="1" x14ac:dyDescent="0.3">
      <c r="A4" s="25"/>
      <c r="B4" s="21" t="s">
        <v>55</v>
      </c>
      <c r="C4" s="25"/>
      <c r="D4" s="21" t="s">
        <v>57</v>
      </c>
      <c r="E4" s="25"/>
      <c r="F4" s="21" t="s">
        <v>59</v>
      </c>
      <c r="G4" s="25"/>
      <c r="H4" s="25"/>
      <c r="I4" s="29" t="s">
        <v>62</v>
      </c>
      <c r="J4" s="25"/>
      <c r="K4" s="25"/>
      <c r="L4" s="25"/>
    </row>
    <row r="5" spans="1:12" ht="40.799999999999997" x14ac:dyDescent="0.3">
      <c r="A5" s="25"/>
      <c r="B5" s="22">
        <f>AVERAGE('Data Vendors'!I2:I10)</f>
        <v>24</v>
      </c>
      <c r="C5" s="25"/>
      <c r="D5" s="24">
        <f>COUNTIF('Data Vendors'!J2:J10,"Tier 1")</f>
        <v>6</v>
      </c>
      <c r="E5" s="25"/>
      <c r="F5" s="22">
        <f>AVERAGE('Data Vendors'!F2:F10)</f>
        <v>8.2222222222222214</v>
      </c>
      <c r="G5" s="25"/>
      <c r="H5" s="25"/>
      <c r="I5" s="39" t="str">
        <f>IF(I4="All","Showing all "&amp;COUNTA('Data Vendors'!A2:A10)&amp;" vendors","Showing "&amp;COUNTIF('Data Vendors'!J2:J10,I4)&amp;" "&amp;I4&amp;" vendors")</f>
        <v>Showing all 9 vendors</v>
      </c>
      <c r="J5" s="25"/>
      <c r="K5" s="25"/>
      <c r="L5" s="25"/>
    </row>
    <row r="6" spans="1:12" ht="15" thickBot="1" x14ac:dyDescent="0.35">
      <c r="A6" s="25"/>
      <c r="B6" s="23" t="s">
        <v>56</v>
      </c>
      <c r="C6" s="25"/>
      <c r="D6" s="23" t="s">
        <v>58</v>
      </c>
      <c r="E6" s="25"/>
      <c r="F6" s="23" t="s">
        <v>60</v>
      </c>
      <c r="G6" s="25"/>
      <c r="H6" s="25"/>
      <c r="I6" s="38" t="s">
        <v>72</v>
      </c>
      <c r="J6" s="25"/>
      <c r="K6" s="25"/>
      <c r="L6" s="25"/>
    </row>
    <row r="7" spans="1:12" ht="15" thickTop="1" x14ac:dyDescent="0.3">
      <c r="A7" s="25"/>
      <c r="B7" s="37" t="s">
        <v>70</v>
      </c>
      <c r="C7" s="25"/>
      <c r="D7" s="25"/>
      <c r="E7" s="25"/>
      <c r="F7" s="25"/>
      <c r="G7" s="25"/>
      <c r="H7" s="25"/>
      <c r="I7" s="25"/>
      <c r="J7" s="25"/>
      <c r="K7" s="25"/>
      <c r="L7" s="25"/>
    </row>
    <row r="8" spans="1:12" x14ac:dyDescent="0.3">
      <c r="A8" s="25"/>
      <c r="B8" s="30" t="s">
        <v>63</v>
      </c>
      <c r="C8" s="30" t="s">
        <v>64</v>
      </c>
      <c r="D8" s="30" t="s">
        <v>65</v>
      </c>
      <c r="E8" s="30" t="s">
        <v>66</v>
      </c>
      <c r="F8" s="30" t="s">
        <v>67</v>
      </c>
      <c r="G8" s="30" t="s">
        <v>68</v>
      </c>
      <c r="H8" s="30" t="s">
        <v>69</v>
      </c>
      <c r="I8" s="25"/>
      <c r="J8" s="25"/>
      <c r="K8" s="25"/>
      <c r="L8" s="25"/>
    </row>
    <row r="9" spans="1:12" ht="22.05" customHeight="1" x14ac:dyDescent="0.3">
      <c r="A9" s="25"/>
      <c r="B9" s="31" t="str" cm="1">
        <f t="array" ref="B9">IFERROR(IF($I$4="All",INDEX('Data Vendors'!A$2:A$10,1),INDEX(_xlfn._xlws.FILTER('Data Vendors'!A2:A10,'Data Vendors'!J2:J10=$I$4),1)),"")</f>
        <v>Privateer</v>
      </c>
      <c r="C9" s="31" t="str" cm="1">
        <f t="array" ref="C9">IFERROR(IF($I$4="All",INDEX('Data Vendors'!B$2:B$10,1),INDEX(_xlfn._xlws.FILTER('Data Vendors'!B2:B10,'Data Vendors'!J2:J10=$I$4),1)),"")</f>
        <v>Oil &amp; Gas Operations Intelligence</v>
      </c>
      <c r="D9" s="31" cm="1">
        <f t="array" ref="D9">IFERROR(IF($I$4="All",INDEX('Data Vendors'!F$2:F$10,1),INDEX(_xlfn._xlws.FILTER('Data Vendors'!F2:F10,'Data Vendors'!J2:J10=$I$4),1)),"")</f>
        <v>9</v>
      </c>
      <c r="E9" s="31" cm="1">
        <f t="array" ref="E9">IFERROR(IF($I$4="All",INDEX('Data Vendors'!G$2:G$10,1),INDEX(_xlfn._xlws.FILTER('Data Vendors'!G2:G10,'Data Vendors'!J2:J10=$I$4),1)),"")</f>
        <v>10</v>
      </c>
      <c r="F9" s="31" cm="1">
        <f t="array" ref="F9">IFERROR(IF($I$4="All",INDEX('Data Vendors'!H$2:H$10,1),INDEX(_xlfn._xlws.FILTER('Data Vendors'!H2:H10,'Data Vendors'!J2:J10=$I$4),1)),"")</f>
        <v>7</v>
      </c>
      <c r="G9" s="32" cm="1">
        <f t="array" ref="G9">IFERROR(IF($I$4="All",INDEX('Data Vendors'!I$2:I$10,1),INDEX(_xlfn._xlws.FILTER('Data Vendors'!I2:I10,'Data Vendors'!J2:J10=$I$4),1)),"")</f>
        <v>26</v>
      </c>
      <c r="H9" s="31" t="str" cm="1">
        <f t="array" ref="H9">IFERROR(IF($I$4="All",INDEX('Data Vendors'!J$2:J$10,1),INDEX(_xlfn._xlws.FILTER('Data Vendors'!J2:J10,'Data Vendors'!J2:J10=$I$4),1)),"")</f>
        <v>Tier 1</v>
      </c>
      <c r="I9" s="25"/>
      <c r="J9" s="25"/>
      <c r="K9" s="25"/>
      <c r="L9" s="25"/>
    </row>
    <row r="10" spans="1:12" ht="22.05" customHeight="1" x14ac:dyDescent="0.3">
      <c r="A10" s="25"/>
      <c r="B10" s="33" t="str" cm="1">
        <f t="array" ref="B10">IFERROR(IF($I$4="All",INDEX('Data Vendors'!A$2:A$10,2),INDEX(_xlfn._xlws.FILTER('Data Vendors'!A2:A10,'Data Vendors'!J2:J10=$I$4),2)),"")</f>
        <v>Kpler</v>
      </c>
      <c r="C10" s="33" t="str" cm="1">
        <f t="array" ref="C10">IFERROR(IF($I$4="All",INDEX('Data Vendors'!B$2:B$10,2),INDEX(_xlfn._xlws.FILTER('Data Vendors'!B2:B10,'Data Vendors'!J2:J10=$I$4),2)),"")</f>
        <v>Crude Oil &amp; LNG Supply Intelligence</v>
      </c>
      <c r="D10" s="33" cm="1">
        <f t="array" ref="D10">IFERROR(IF($I$4="All",INDEX('Data Vendors'!F$2:F$10,2),INDEX(_xlfn._xlws.FILTER('Data Vendors'!F2:F10,'Data Vendors'!J2:J10=$I$4),2)),"")</f>
        <v>10</v>
      </c>
      <c r="E10" s="33" cm="1">
        <f t="array" ref="E10">IFERROR(IF($I$4="All",INDEX('Data Vendors'!G$2:G$10,2),INDEX(_xlfn._xlws.FILTER('Data Vendors'!G2:G10,'Data Vendors'!J2:J10=$I$4),2)),"")</f>
        <v>9</v>
      </c>
      <c r="F10" s="33" cm="1">
        <f t="array" ref="F10">IFERROR(IF($I$4="All",INDEX('Data Vendors'!H$2:H$10,2),INDEX(_xlfn._xlws.FILTER('Data Vendors'!H2:H10,'Data Vendors'!J2:J10=$I$4),2)),"")</f>
        <v>8</v>
      </c>
      <c r="G10" s="34" cm="1">
        <f t="array" ref="G10">IFERROR(IF($I$4="All",INDEX('Data Vendors'!I$2:I$10,2),INDEX(_xlfn._xlws.FILTER('Data Vendors'!I2:I10,'Data Vendors'!J2:J10=$I$4),2)),"")</f>
        <v>27</v>
      </c>
      <c r="H10" s="33" t="str" cm="1">
        <f t="array" ref="H10">IFERROR(IF($I$4="All",INDEX('Data Vendors'!J$2:J$10,2),INDEX(_xlfn._xlws.FILTER('Data Vendors'!J2:J10,'Data Vendors'!J2:J10=$I$4),2)),"")</f>
        <v>Tier 1</v>
      </c>
      <c r="I10" s="25"/>
      <c r="J10" s="25"/>
      <c r="K10" s="25"/>
      <c r="L10" s="25"/>
    </row>
    <row r="11" spans="1:12" ht="22.05" customHeight="1" x14ac:dyDescent="0.3">
      <c r="A11" s="25"/>
      <c r="B11" s="33" t="str" cm="1">
        <f t="array" ref="B11">IFERROR(IF($I$4="All",INDEX('Data Vendors'!A$2:A$10,3),INDEX(_xlfn._xlws.FILTER('Data Vendors'!A2:A10,'Data Vendors'!J2:J10=$I$4),3)),"")</f>
        <v>MarineTraffic</v>
      </c>
      <c r="C11" s="33" t="str" cm="1">
        <f t="array" ref="C11">IFERROR(IF($I$4="All",INDEX('Data Vendors'!B$2:B$10,3),INDEX(_xlfn._xlws.FILTER('Data Vendors'!B2:B10,'Data Vendors'!J2:J10=$I$4),3)),"")</f>
        <v>Global Vessel Tracking &amp; Port Activity</v>
      </c>
      <c r="D11" s="33" cm="1">
        <f t="array" ref="D11">IFERROR(IF($I$4="All",INDEX('Data Vendors'!F$2:F$10,3),INDEX(_xlfn._xlws.FILTER('Data Vendors'!F2:F10,'Data Vendors'!J2:J10=$I$4),3)),"")</f>
        <v>7</v>
      </c>
      <c r="E11" s="33" cm="1">
        <f t="array" ref="E11">IFERROR(IF($I$4="All",INDEX('Data Vendors'!G$2:G$10,3),INDEX(_xlfn._xlws.FILTER('Data Vendors'!G2:G10,'Data Vendors'!J2:J10=$I$4),3)),"")</f>
        <v>8</v>
      </c>
      <c r="F11" s="33" cm="1">
        <f t="array" ref="F11">IFERROR(IF($I$4="All",INDEX('Data Vendors'!H$2:H$10,3),INDEX(_xlfn._xlws.FILTER('Data Vendors'!H2:H10,'Data Vendors'!J2:J10=$I$4),3)),"")</f>
        <v>8</v>
      </c>
      <c r="G11" s="34" cm="1">
        <f t="array" ref="G11">IFERROR(IF($I$4="All",INDEX('Data Vendors'!I$2:I$10,3),INDEX(_xlfn._xlws.FILTER('Data Vendors'!I2:I10,'Data Vendors'!J2:J10=$I$4),3)),"")</f>
        <v>23</v>
      </c>
      <c r="H11" s="33" t="str" cm="1">
        <f t="array" ref="H11">IFERROR(IF($I$4="All",INDEX('Data Vendors'!J$2:J$10,3),INDEX(_xlfn._xlws.FILTER('Data Vendors'!J2:J10,'Data Vendors'!J2:J10=$I$4),3)),"")</f>
        <v>Tier 2</v>
      </c>
      <c r="I11" s="25"/>
      <c r="J11" s="25"/>
      <c r="K11" s="25"/>
      <c r="L11" s="25"/>
    </row>
    <row r="12" spans="1:12" ht="22.05" customHeight="1" x14ac:dyDescent="0.3">
      <c r="A12" s="25"/>
      <c r="B12" s="33" t="str" cm="1">
        <f t="array" ref="B12">IFERROR(IF($I$4="All",INDEX('Data Vendors'!A$2:A$10,4),INDEX(_xlfn._xlws.FILTER('Data Vendors'!A2:A10,'Data Vendors'!J2:J10=$I$4),4)),"")</f>
        <v>Wood Mackenzie</v>
      </c>
      <c r="C12" s="33" t="str" cm="1">
        <f t="array" ref="C12">IFERROR(IF($I$4="All",INDEX('Data Vendors'!B$2:B$10,4),INDEX(_xlfn._xlws.FILTER('Data Vendors'!B2:B10,'Data Vendors'!J2:J10=$I$4),4)),"")</f>
        <v>Energy Market Intelligence &amp; Analytics</v>
      </c>
      <c r="D12" s="33" cm="1">
        <f t="array" ref="D12">IFERROR(IF($I$4="All",INDEX('Data Vendors'!F$2:F$10,4),INDEX(_xlfn._xlws.FILTER('Data Vendors'!F2:F10,'Data Vendors'!J2:J10=$I$4),4)),"")</f>
        <v>8</v>
      </c>
      <c r="E12" s="33" cm="1">
        <f t="array" ref="E12">IFERROR(IF($I$4="All",INDEX('Data Vendors'!G$2:G$10,4),INDEX(_xlfn._xlws.FILTER('Data Vendors'!G2:G10,'Data Vendors'!J2:J10=$I$4),4)),"")</f>
        <v>6</v>
      </c>
      <c r="F12" s="33" cm="1">
        <f t="array" ref="F12">IFERROR(IF($I$4="All",INDEX('Data Vendors'!H$2:H$10,4),INDEX(_xlfn._xlws.FILTER('Data Vendors'!H2:H10,'Data Vendors'!J2:J10=$I$4),4)),"")</f>
        <v>7</v>
      </c>
      <c r="G12" s="34" cm="1">
        <f t="array" ref="G12">IFERROR(IF($I$4="All",INDEX('Data Vendors'!I$2:I$10,4),INDEX(_xlfn._xlws.FILTER('Data Vendors'!I2:I10,'Data Vendors'!J2:J10=$I$4),4)),"")</f>
        <v>21</v>
      </c>
      <c r="H12" s="33" t="str" cm="1">
        <f t="array" ref="H12">IFERROR(IF($I$4="All",INDEX('Data Vendors'!J$2:J$10,4),INDEX(_xlfn._xlws.FILTER('Data Vendors'!J2:J10,'Data Vendors'!J2:J10=$I$4),4)),"")</f>
        <v>Tier 2</v>
      </c>
      <c r="I12" s="25"/>
      <c r="J12" s="25"/>
      <c r="K12" s="25"/>
      <c r="L12" s="25"/>
    </row>
    <row r="13" spans="1:12" ht="22.05" customHeight="1" x14ac:dyDescent="0.3">
      <c r="A13" s="25"/>
      <c r="B13" s="33" t="str" cm="1">
        <f t="array" ref="B13">IFERROR(IF($I$4="All",INDEX('Data Vendors'!A$2:A$10,5),INDEX(_xlfn._xlws.FILTER('Data Vendors'!A2:A10,'Data Vendors'!J2:J10=$I$4),5)),"")</f>
        <v>Enverus</v>
      </c>
      <c r="C13" s="33" t="str" cm="1">
        <f t="array" ref="C13">IFERROR(IF($I$4="All",INDEX('Data Vendors'!B$2:B$10,5),INDEX(_xlfn._xlws.FILTER('Data Vendors'!B2:B10,'Data Vendors'!J2:J10=$I$4),5)),"")</f>
        <v>Energy Operations &amp; Production Intelligence</v>
      </c>
      <c r="D13" s="33" cm="1">
        <f t="array" ref="D13">IFERROR(IF($I$4="All",INDEX('Data Vendors'!F$2:F$10,5),INDEX(_xlfn._xlws.FILTER('Data Vendors'!F2:F10,'Data Vendors'!J2:J10=$I$4),5)),"")</f>
        <v>8</v>
      </c>
      <c r="E13" s="33" cm="1">
        <f t="array" ref="E13">IFERROR(IF($I$4="All",INDEX('Data Vendors'!G$2:G$10,5),INDEX(_xlfn._xlws.FILTER('Data Vendors'!G2:G10,'Data Vendors'!J2:J10=$I$4),5)),"")</f>
        <v>9</v>
      </c>
      <c r="F13" s="33" cm="1">
        <f t="array" ref="F13">IFERROR(IF($I$4="All",INDEX('Data Vendors'!H$2:H$10,5),INDEX(_xlfn._xlws.FILTER('Data Vendors'!H2:H10,'Data Vendors'!J2:J10=$I$4),5)),"")</f>
        <v>8</v>
      </c>
      <c r="G13" s="34" cm="1">
        <f t="array" ref="G13">IFERROR(IF($I$4="All",INDEX('Data Vendors'!I$2:I$10,5),INDEX(_xlfn._xlws.FILTER('Data Vendors'!I2:I10,'Data Vendors'!J2:J10=$I$4),5)),"")</f>
        <v>25</v>
      </c>
      <c r="H13" s="33" t="str" cm="1">
        <f t="array" ref="H13">IFERROR(IF($I$4="All",INDEX('Data Vendors'!J$2:J$10,5),INDEX(_xlfn._xlws.FILTER('Data Vendors'!J2:J10,'Data Vendors'!J2:J10=$I$4),5)),"")</f>
        <v>Tier 1</v>
      </c>
      <c r="I13" s="25"/>
      <c r="J13" s="25"/>
      <c r="K13" s="25"/>
      <c r="L13" s="25"/>
    </row>
    <row r="14" spans="1:12" ht="22.05" customHeight="1" x14ac:dyDescent="0.3">
      <c r="A14" s="25"/>
      <c r="B14" s="33" t="str" cm="1">
        <f t="array" ref="B14">IFERROR(IF($I$4="All",INDEX('Data Vendors'!A$2:A$10,6),INDEX(_xlfn._xlws.FILTER('Data Vendors'!A2:A10,'Data Vendors'!J2:J10=$I$4),6)),"")</f>
        <v>IEA (International Energy Agency)</v>
      </c>
      <c r="C14" s="33" t="str" cm="1">
        <f t="array" ref="C14">IFERROR(IF($I$4="All",INDEX('Data Vendors'!B$2:B$10,6),INDEX(_xlfn._xlws.FILTER('Data Vendors'!B2:B10,'Data Vendors'!J2:J10=$I$4),6)),"")</f>
        <v>Global Energy Statistics &amp; Forecasts</v>
      </c>
      <c r="D14" s="33" cm="1">
        <f t="array" ref="D14">IFERROR(IF($I$4="All",INDEX('Data Vendors'!F$2:F$10,6),INDEX(_xlfn._xlws.FILTER('Data Vendors'!F2:F10,'Data Vendors'!J2:J10=$I$4),6)),"")</f>
        <v>7</v>
      </c>
      <c r="E14" s="33" cm="1">
        <f t="array" ref="E14">IFERROR(IF($I$4="All",INDEX('Data Vendors'!G$2:G$10,6),INDEX(_xlfn._xlws.FILTER('Data Vendors'!G2:G10,'Data Vendors'!J2:J10=$I$4),6)),"")</f>
        <v>5</v>
      </c>
      <c r="F14" s="33" cm="1">
        <f t="array" ref="F14">IFERROR(IF($I$4="All",INDEX('Data Vendors'!H$2:H$10,6),INDEX(_xlfn._xlws.FILTER('Data Vendors'!H2:H10,'Data Vendors'!J2:J10=$I$4),6)),"")</f>
        <v>6</v>
      </c>
      <c r="G14" s="34" cm="1">
        <f t="array" ref="G14">IFERROR(IF($I$4="All",INDEX('Data Vendors'!I$2:I$10,6),INDEX(_xlfn._xlws.FILTER('Data Vendors'!I2:I10,'Data Vendors'!J2:J10=$I$4),6)),"")</f>
        <v>18</v>
      </c>
      <c r="H14" s="33" t="str" cm="1">
        <f t="array" ref="H14">IFERROR(IF($I$4="All",INDEX('Data Vendors'!J$2:J$10,6),INDEX(_xlfn._xlws.FILTER('Data Vendors'!J2:J10,'Data Vendors'!J2:J10=$I$4),6)),"")</f>
        <v>Tier 2</v>
      </c>
      <c r="I14" s="25"/>
      <c r="J14" s="25"/>
      <c r="K14" s="25"/>
      <c r="L14" s="25"/>
    </row>
    <row r="15" spans="1:12" ht="22.05" customHeight="1" x14ac:dyDescent="0.3">
      <c r="A15" s="25"/>
      <c r="B15" s="33" t="str" cm="1">
        <f t="array" ref="B15">IFERROR(IF($I$4="All",INDEX('Data Vendors'!A$2:A$10,7),INDEX(_xlfn._xlws.FILTER('Data Vendors'!A2:A10,'Data Vendors'!J2:J10=$I$4),7)),"")</f>
        <v>Kayrros</v>
      </c>
      <c r="C15" s="33" t="str" cm="1">
        <f t="array" ref="C15">IFERROR(IF($I$4="All",INDEX('Data Vendors'!B$2:B$10,7),INDEX(_xlfn._xlws.FILTER('Data Vendors'!B2:B10,'Data Vendors'!J2:J10=$I$4),7)),"")</f>
        <v>Energy Market Intelligence (Satellite-Based)</v>
      </c>
      <c r="D15" s="33" cm="1">
        <f t="array" ref="D15">IFERROR(IF($I$4="All",INDEX('Data Vendors'!F$2:F$10,7),INDEX(_xlfn._xlws.FILTER('Data Vendors'!F2:F10,'Data Vendors'!J2:J10=$I$4),7)),"")</f>
        <v>9</v>
      </c>
      <c r="E15" s="33" cm="1">
        <f t="array" ref="E15">IFERROR(IF($I$4="All",INDEX('Data Vendors'!G$2:G$10,7),INDEX(_xlfn._xlws.FILTER('Data Vendors'!G2:G10,'Data Vendors'!J2:J10=$I$4),7)),"")</f>
        <v>9</v>
      </c>
      <c r="F15" s="33" cm="1">
        <f t="array" ref="F15">IFERROR(IF($I$4="All",INDEX('Data Vendors'!H$2:H$10,7),INDEX(_xlfn._xlws.FILTER('Data Vendors'!H2:H10,'Data Vendors'!J2:J10=$I$4),7)),"")</f>
        <v>7</v>
      </c>
      <c r="G15" s="34" cm="1">
        <f t="array" ref="G15">IFERROR(IF($I$4="All",INDEX('Data Vendors'!I$2:I$10,7),INDEX(_xlfn._xlws.FILTER('Data Vendors'!I2:I10,'Data Vendors'!J2:J10=$I$4),7)),"")</f>
        <v>25</v>
      </c>
      <c r="H15" s="33" t="str" cm="1">
        <f t="array" ref="H15">IFERROR(IF($I$4="All",INDEX('Data Vendors'!J$2:J$10,7),INDEX(_xlfn._xlws.FILTER('Data Vendors'!J2:J10,'Data Vendors'!J2:J10=$I$4),7)),"")</f>
        <v>Tier 1</v>
      </c>
      <c r="I15" s="25"/>
      <c r="J15" s="25"/>
      <c r="K15" s="25"/>
      <c r="L15" s="25"/>
    </row>
    <row r="16" spans="1:12" ht="22.05" customHeight="1" x14ac:dyDescent="0.3">
      <c r="A16" s="25"/>
      <c r="B16" s="33" t="str" cm="1">
        <f t="array" ref="B16">IFERROR(IF($I$4="All",INDEX('Data Vendors'!A$2:A$10,8),INDEX(_xlfn._xlws.FILTER('Data Vendors'!A2:A10,'Data Vendors'!J2:J10=$I$4),8)),"")</f>
        <v>YES Energy</v>
      </c>
      <c r="C16" s="33" t="str" cm="1">
        <f t="array" ref="C16">IFERROR(IF($I$4="All",INDEX('Data Vendors'!B$2:B$10,8),INDEX(_xlfn._xlws.FILTER('Data Vendors'!B2:B10,'Data Vendors'!J2:J10=$I$4),8)),"")</f>
        <v>Power Market Operating System</v>
      </c>
      <c r="D16" s="33" cm="1">
        <f t="array" ref="D16">IFERROR(IF($I$4="All",INDEX('Data Vendors'!F$2:F$10,8),INDEX(_xlfn._xlws.FILTER('Data Vendors'!F2:F10,'Data Vendors'!J2:J10=$I$4),8)),"")</f>
        <v>8</v>
      </c>
      <c r="E16" s="33" cm="1">
        <f t="array" ref="E16">IFERROR(IF($I$4="All",INDEX('Data Vendors'!G$2:G$10,8),INDEX(_xlfn._xlws.FILTER('Data Vendors'!G2:G10,'Data Vendors'!J2:J10=$I$4),8)),"")</f>
        <v>10</v>
      </c>
      <c r="F16" s="33" cm="1">
        <f t="array" ref="F16">IFERROR(IF($I$4="All",INDEX('Data Vendors'!H$2:H$10,8),INDEX(_xlfn._xlws.FILTER('Data Vendors'!H2:H10,'Data Vendors'!J2:J10=$I$4),8)),"")</f>
        <v>8</v>
      </c>
      <c r="G16" s="34" cm="1">
        <f t="array" ref="G16">IFERROR(IF($I$4="All",INDEX('Data Vendors'!I$2:I$10,8),INDEX(_xlfn._xlws.FILTER('Data Vendors'!I2:I10,'Data Vendors'!J2:J10=$I$4),8)),"")</f>
        <v>26</v>
      </c>
      <c r="H16" s="33" t="str" cm="1">
        <f t="array" ref="H16">IFERROR(IF($I$4="All",INDEX('Data Vendors'!J$2:J$10,8),INDEX(_xlfn._xlws.FILTER('Data Vendors'!J2:J10,'Data Vendors'!J2:J10=$I$4),8)),"")</f>
        <v>Tier 1</v>
      </c>
      <c r="I16" s="25"/>
      <c r="J16" s="25"/>
      <c r="K16" s="25"/>
      <c r="L16" s="25"/>
    </row>
    <row r="17" spans="1:12" ht="22.05" customHeight="1" x14ac:dyDescent="0.3">
      <c r="A17" s="25"/>
      <c r="B17" s="35" t="str" cm="1">
        <f t="array" ref="B17">IFERROR(IF($I$4="All",INDEX('Data Vendors'!A$2:A$10,9),INDEX(_xlfn._xlws.FILTER('Data Vendors'!A2:A10,'Data Vendors'!J2:J10=$I$4),9)),"")</f>
        <v>Vortexa</v>
      </c>
      <c r="C17" s="35" t="str" cm="1">
        <f t="array" ref="C17">IFERROR(IF($I$4="All",INDEX('Data Vendors'!B$2:B$10,9),INDEX(_xlfn._xlws.FILTER('Data Vendors'!B2:B10,'Data Vendors'!J2:J10=$I$4),9)),"")</f>
        <v>Energy Shipping &amp; Trading Intelligence</v>
      </c>
      <c r="D17" s="35" cm="1">
        <f t="array" ref="D17">IFERROR(IF($I$4="All",INDEX('Data Vendors'!F$2:F$10,9),INDEX(_xlfn._xlws.FILTER('Data Vendors'!F2:F10,'Data Vendors'!J2:J10=$I$4),9)),"")</f>
        <v>8</v>
      </c>
      <c r="E17" s="35" cm="1">
        <f t="array" ref="E17">IFERROR(IF($I$4="All",INDEX('Data Vendors'!G$2:G$10,9),INDEX(_xlfn._xlws.FILTER('Data Vendors'!G2:G10,'Data Vendors'!J2:J10=$I$4),9)),"")</f>
        <v>9</v>
      </c>
      <c r="F17" s="35" cm="1">
        <f t="array" ref="F17">IFERROR(IF($I$4="All",INDEX('Data Vendors'!H$2:H$10,9),INDEX(_xlfn._xlws.FILTER('Data Vendors'!H2:H10,'Data Vendors'!J2:J10=$I$4),9)),"")</f>
        <v>8</v>
      </c>
      <c r="G17" s="36" cm="1">
        <f t="array" ref="G17">IFERROR(IF($I$4="All",INDEX('Data Vendors'!I$2:I$10,9),INDEX(_xlfn._xlws.FILTER('Data Vendors'!I2:I10,'Data Vendors'!J2:J10=$I$4),9)),"")</f>
        <v>25</v>
      </c>
      <c r="H17" s="35" t="str" cm="1">
        <f t="array" ref="H17">IFERROR(IF($I$4="All",INDEX('Data Vendors'!J$2:J$10,9),INDEX(_xlfn._xlws.FILTER('Data Vendors'!J2:J10,'Data Vendors'!J2:J10=$I$4),9)),"")</f>
        <v>Tier 1</v>
      </c>
      <c r="I17" s="25"/>
      <c r="J17" s="25"/>
      <c r="K17" s="25"/>
      <c r="L17" s="25"/>
    </row>
    <row r="18" spans="1:12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</row>
    <row r="20" spans="1:12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</row>
  </sheetData>
  <mergeCells count="1">
    <mergeCell ref="B2:G2"/>
  </mergeCells>
  <conditionalFormatting sqref="H9:H17">
    <cfRule type="containsText" dxfId="1" priority="1" operator="containsText" text="Tier 1">
      <formula>NOT(ISERROR(SEARCH("Tier 1",H9)))</formula>
    </cfRule>
  </conditionalFormatting>
  <conditionalFormatting sqref="H9:H17">
    <cfRule type="containsText" dxfId="0" priority="2" operator="containsText" text="Tier 2">
      <formula>NOT(ISERROR(SEARCH("Tier 2",H9)))</formula>
    </cfRule>
  </conditionalFormatting>
  <conditionalFormatting sqref="G9:G17">
    <cfRule type="dataBar" priority="3">
      <dataBar>
        <cfvo type="min"/>
        <cfvo type="max"/>
        <color rgb="FFE94560"/>
      </dataBar>
      <extLst>
        <ext xmlns:x14="http://schemas.microsoft.com/office/spreadsheetml/2009/9/main" uri="{B025F937-C7B1-47D3-B67F-A62EFF666E3E}">
          <x14:id>{328CA298-94E4-4DF8-B0B3-E275F55A2619}</x14:id>
        </ext>
      </extLst>
    </cfRule>
  </conditionalFormatting>
  <dataValidations count="1">
    <dataValidation type="list" allowBlank="1" showInputMessage="1" showErrorMessage="1" promptTitle="Filter Vendors" prompt="Select a tier to filter the vendor table below" sqref="I4" xr:uid="{0F32C0E2-E919-4A24-AA37-C34B13725A76}">
      <formula1>"All,Tier 1,Tier 2"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8CA298-94E4-4DF8-B0B3-E275F55A2619}">
            <x14:dataBar minLength="0" maxLength="100" border="1" direction="leftToRight" negativeBarColorSameAsPositive="1" axisPosition="none">
              <x14:cfvo type="min"/>
              <x14:cfvo type="max"/>
              <x14:borderColor rgb="FFC0305E"/>
            </x14:dataBar>
          </x14:cfRule>
          <xm:sqref>G9:G17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Vendors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AG</dc:creator>
  <cp:lastModifiedBy>Varun AG</cp:lastModifiedBy>
  <dcterms:created xsi:type="dcterms:W3CDTF">2015-06-05T18:17:20Z</dcterms:created>
  <dcterms:modified xsi:type="dcterms:W3CDTF">2026-04-16T16:50:35Z</dcterms:modified>
</cp:coreProperties>
</file>